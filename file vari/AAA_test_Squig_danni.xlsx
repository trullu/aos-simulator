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e.furlan\Desktop\MISC\aos\APP e Simulatore\"/>
    </mc:Choice>
  </mc:AlternateContent>
  <xr:revisionPtr revIDLastSave="0" documentId="13_ncr:1_{1C7EBE9A-E102-4486-861E-29439B688506}" xr6:coauthVersionLast="47" xr6:coauthVersionMax="47" xr10:uidLastSave="{00000000-0000-0000-0000-000000000000}"/>
  <bookViews>
    <workbookView xWindow="-108" yWindow="-108" windowWidth="23256" windowHeight="12456" xr2:uid="{6045549A-9A05-41C8-BE28-88798568860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P24" i="1"/>
  <c r="Q24" i="1"/>
  <c r="R24" i="1"/>
  <c r="S24" i="1"/>
  <c r="P23" i="1"/>
  <c r="Q23" i="1"/>
  <c r="R23" i="1"/>
  <c r="S23" i="1"/>
  <c r="O23" i="1"/>
  <c r="O18" i="1"/>
  <c r="P18" i="1"/>
  <c r="Q18" i="1"/>
  <c r="R18" i="1"/>
  <c r="S18" i="1"/>
  <c r="O20" i="1"/>
  <c r="P20" i="1"/>
  <c r="Q20" i="1"/>
  <c r="R20" i="1"/>
  <c r="S20" i="1"/>
  <c r="O21" i="1"/>
  <c r="P21" i="1"/>
  <c r="Q21" i="1"/>
  <c r="R21" i="1"/>
  <c r="S21" i="1"/>
  <c r="P17" i="1"/>
  <c r="Q17" i="1"/>
  <c r="R17" i="1"/>
  <c r="S17" i="1"/>
  <c r="O17" i="1"/>
  <c r="O11" i="1"/>
  <c r="P11" i="1"/>
  <c r="Q11" i="1"/>
  <c r="R11" i="1"/>
  <c r="S11" i="1"/>
  <c r="O12" i="1"/>
  <c r="P12" i="1"/>
  <c r="Q12" i="1"/>
  <c r="R12" i="1"/>
  <c r="S12" i="1"/>
  <c r="O13" i="1"/>
  <c r="P13" i="1"/>
  <c r="Q13" i="1"/>
  <c r="R13" i="1"/>
  <c r="S13" i="1"/>
  <c r="O14" i="1"/>
  <c r="P14" i="1"/>
  <c r="Q14" i="1"/>
  <c r="R14" i="1"/>
  <c r="S14" i="1"/>
  <c r="O15" i="1"/>
  <c r="P15" i="1"/>
  <c r="Q15" i="1"/>
  <c r="R15" i="1"/>
  <c r="S15" i="1"/>
  <c r="P10" i="1"/>
  <c r="Q10" i="1"/>
  <c r="R10" i="1"/>
  <c r="S10" i="1"/>
  <c r="O10" i="1"/>
  <c r="O4" i="1"/>
  <c r="P4" i="1"/>
  <c r="Q4" i="1"/>
  <c r="R4" i="1"/>
  <c r="S4" i="1"/>
  <c r="O5" i="1"/>
  <c r="P5" i="1"/>
  <c r="Q5" i="1"/>
  <c r="R5" i="1"/>
  <c r="S5" i="1"/>
  <c r="O6" i="1"/>
  <c r="P6" i="1"/>
  <c r="Q6" i="1"/>
  <c r="R6" i="1"/>
  <c r="S6" i="1"/>
  <c r="O7" i="1"/>
  <c r="P7" i="1"/>
  <c r="Q7" i="1"/>
  <c r="R7" i="1"/>
  <c r="S7" i="1"/>
  <c r="O8" i="1"/>
  <c r="P8" i="1"/>
  <c r="Q8" i="1"/>
  <c r="R8" i="1"/>
  <c r="S8" i="1"/>
  <c r="P3" i="1"/>
  <c r="Q3" i="1"/>
  <c r="R3" i="1"/>
  <c r="S3" i="1"/>
  <c r="O3" i="1"/>
  <c r="M24" i="1"/>
  <c r="L24" i="1"/>
  <c r="K24" i="1"/>
  <c r="J24" i="1"/>
  <c r="I24" i="1"/>
  <c r="M23" i="1"/>
  <c r="L23" i="1"/>
  <c r="K23" i="1"/>
  <c r="J23" i="1"/>
  <c r="I2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7" i="1"/>
  <c r="J17" i="1"/>
  <c r="K17" i="1"/>
  <c r="L17" i="1"/>
  <c r="M17" i="1"/>
  <c r="I18" i="1"/>
  <c r="J18" i="1"/>
  <c r="K18" i="1"/>
  <c r="L18" i="1"/>
  <c r="M18" i="1"/>
  <c r="I20" i="1"/>
  <c r="J20" i="1"/>
  <c r="K20" i="1"/>
  <c r="L20" i="1"/>
  <c r="M20" i="1"/>
  <c r="I21" i="1"/>
  <c r="J21" i="1"/>
  <c r="K21" i="1"/>
  <c r="L21" i="1"/>
  <c r="M21" i="1"/>
  <c r="J3" i="1"/>
  <c r="K3" i="1"/>
  <c r="L3" i="1"/>
  <c r="M3" i="1"/>
  <c r="I3" i="1"/>
</calcChain>
</file>

<file path=xl/sharedStrings.xml><?xml version="1.0" encoding="utf-8"?>
<sst xmlns="http://schemas.openxmlformats.org/spreadsheetml/2006/main" count="124" uniqueCount="45">
  <si>
    <t>2+</t>
  </si>
  <si>
    <t>3+</t>
  </si>
  <si>
    <t>4+</t>
  </si>
  <si>
    <t>5+</t>
  </si>
  <si>
    <t>6+</t>
  </si>
  <si>
    <t>BOUNDERZ</t>
  </si>
  <si>
    <t>BOUNDERZ AoA</t>
  </si>
  <si>
    <t>BOUNDERZ in carica</t>
  </si>
  <si>
    <t>BOUNDERZ in carica e AoA</t>
  </si>
  <si>
    <t>BOUNDERZ in carica e Crit Mortal</t>
  </si>
  <si>
    <t>BOUNDERZ in carica, Crit Mortal e AoA</t>
  </si>
  <si>
    <t>SQUIG</t>
  </si>
  <si>
    <t>SQUIG in AoA</t>
  </si>
  <si>
    <t>SQUIG in carica</t>
  </si>
  <si>
    <t>SQUIG in carica e AoA</t>
  </si>
  <si>
    <t>SQUIG in carica e Crit Mortal</t>
  </si>
  <si>
    <t>SQUIG in carica, Crit Mortal e AoA</t>
  </si>
  <si>
    <t>SAVE</t>
  </si>
  <si>
    <t>FERITE</t>
  </si>
  <si>
    <t>WARD</t>
  </si>
  <si>
    <t>F</t>
  </si>
  <si>
    <t>D</t>
  </si>
  <si>
    <t>C</t>
  </si>
  <si>
    <t>A</t>
  </si>
  <si>
    <t>B</t>
  </si>
  <si>
    <t>E</t>
  </si>
  <si>
    <t>3 TROLL</t>
  </si>
  <si>
    <t>6 TROLL</t>
  </si>
  <si>
    <t>WARD 5</t>
  </si>
  <si>
    <t>TRUGG</t>
  </si>
  <si>
    <t>TRUGG AoA</t>
  </si>
  <si>
    <t>3 TROLL AoA</t>
  </si>
  <si>
    <t>6 TROLL AoA</t>
  </si>
  <si>
    <t>GLOTTKIN</t>
  </si>
  <si>
    <t>SLOVEN KNIGHT</t>
  </si>
  <si>
    <t>POXBRINGER</t>
  </si>
  <si>
    <t>PLAGUEBEARERS</t>
  </si>
  <si>
    <t>BELGA</t>
  </si>
  <si>
    <t>LORD OF PLAGUES</t>
  </si>
  <si>
    <t>ROTSWORDS</t>
  </si>
  <si>
    <t>WARD 6</t>
  </si>
  <si>
    <t>NO WARD</t>
  </si>
  <si>
    <t>--</t>
  </si>
  <si>
    <t>DAEMON PRINCE</t>
  </si>
  <si>
    <t>ROTBRINGER SORCERER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</si>
</sst>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2" fontId="0" fillId="0" borderId="0" xfId="0" applyNumberFormat="1"/>
    <xf numFmtId="2" fontId="1" fillId="2" borderId="0" xfId="0" applyNumberFormat="1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9CED-C03F-4096-B71E-F5A0D996F3E9}">
  <sheetPr>
    <pageSetUpPr fitToPage="1"/>
  </sheetPr>
  <dimension ref="A1:S39"/>
  <sheetViews>
    <sheetView tabSelected="1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C38" sqref="C30:C38"/>
    </sheetView>
  </sheetViews>
  <sheetFormatPr defaultRowHeight="14.4" x14ac:dyDescent="0.3"/>
  <cols>
    <col min="1" max="1" width="8.88671875" style="1"/>
    <col min="2" max="2" width="32.109375" bestFit="1" customWidth="1"/>
    <col min="3" max="7" width="8.88671875" style="1"/>
  </cols>
  <sheetData>
    <row r="1" spans="1:19" x14ac:dyDescent="0.3">
      <c r="C1" s="7" t="s">
        <v>41</v>
      </c>
      <c r="D1" s="7"/>
      <c r="E1" s="7"/>
      <c r="F1" s="7"/>
      <c r="G1" s="7"/>
      <c r="I1" s="7" t="s">
        <v>28</v>
      </c>
      <c r="J1" s="7"/>
      <c r="K1" s="7"/>
      <c r="L1" s="7"/>
      <c r="M1" s="7"/>
      <c r="O1" s="7" t="s">
        <v>40</v>
      </c>
      <c r="P1" s="7"/>
      <c r="Q1" s="7"/>
      <c r="R1" s="7"/>
      <c r="S1" s="7"/>
    </row>
    <row r="2" spans="1:19" x14ac:dyDescent="0.3"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O2" s="2" t="s">
        <v>0</v>
      </c>
      <c r="P2" s="2" t="s">
        <v>1</v>
      </c>
      <c r="Q2" s="2" t="s">
        <v>2</v>
      </c>
      <c r="R2" s="2" t="s">
        <v>3</v>
      </c>
      <c r="S2" s="2" t="s">
        <v>4</v>
      </c>
    </row>
    <row r="3" spans="1:19" x14ac:dyDescent="0.3">
      <c r="A3" s="1" t="s">
        <v>23</v>
      </c>
      <c r="B3" s="3" t="s">
        <v>5</v>
      </c>
      <c r="C3" s="1">
        <v>5.91</v>
      </c>
      <c r="D3" s="1">
        <v>8.8800000000000008</v>
      </c>
      <c r="E3" s="1">
        <v>11.84</v>
      </c>
      <c r="F3" s="1">
        <v>14.79</v>
      </c>
      <c r="G3" s="1">
        <v>17.75</v>
      </c>
      <c r="I3" s="6">
        <f>C3*0.66</f>
        <v>3.9006000000000003</v>
      </c>
      <c r="J3" s="6">
        <f t="shared" ref="J3:M3" si="0">D3*0.66</f>
        <v>5.8608000000000011</v>
      </c>
      <c r="K3" s="6">
        <f t="shared" si="0"/>
        <v>7.8144</v>
      </c>
      <c r="L3" s="6">
        <f t="shared" si="0"/>
        <v>9.7614000000000001</v>
      </c>
      <c r="M3" s="6">
        <f t="shared" si="0"/>
        <v>11.715</v>
      </c>
      <c r="O3" s="6">
        <f>C3*0.83</f>
        <v>4.9052999999999995</v>
      </c>
      <c r="P3" s="6">
        <f t="shared" ref="P3:S3" si="1">D3*0.83</f>
        <v>7.3704000000000001</v>
      </c>
      <c r="Q3" s="6">
        <f t="shared" si="1"/>
        <v>9.8271999999999995</v>
      </c>
      <c r="R3" s="6">
        <f t="shared" si="1"/>
        <v>12.275699999999999</v>
      </c>
      <c r="S3" s="6">
        <f t="shared" si="1"/>
        <v>14.7325</v>
      </c>
    </row>
    <row r="4" spans="1:19" x14ac:dyDescent="0.3">
      <c r="A4" s="1" t="s">
        <v>24</v>
      </c>
      <c r="B4" s="3" t="s">
        <v>6</v>
      </c>
      <c r="C4" s="1">
        <v>7.88</v>
      </c>
      <c r="D4" s="1">
        <v>11.84</v>
      </c>
      <c r="E4" s="1">
        <v>15.78</v>
      </c>
      <c r="F4" s="1">
        <v>19.72</v>
      </c>
      <c r="G4" s="1">
        <v>23.66</v>
      </c>
      <c r="I4" s="6">
        <f t="shared" ref="I4:I21" si="2">C4*0.66</f>
        <v>5.2008000000000001</v>
      </c>
      <c r="J4" s="6">
        <f t="shared" ref="J4:J21" si="3">D4*0.66</f>
        <v>7.8144</v>
      </c>
      <c r="K4" s="6">
        <f t="shared" ref="K4:K21" si="4">E4*0.66</f>
        <v>10.4148</v>
      </c>
      <c r="L4" s="6">
        <f t="shared" ref="L4:L21" si="5">F4*0.66</f>
        <v>13.0152</v>
      </c>
      <c r="M4" s="6">
        <f t="shared" ref="M4:M21" si="6">G4*0.66</f>
        <v>15.615600000000001</v>
      </c>
      <c r="O4" s="6">
        <f t="shared" ref="O4:O8" si="7">C4*0.83</f>
        <v>6.5404</v>
      </c>
      <c r="P4" s="6">
        <f t="shared" ref="P4:P8" si="8">D4*0.83</f>
        <v>9.8271999999999995</v>
      </c>
      <c r="Q4" s="6">
        <f t="shared" ref="Q4:Q8" si="9">E4*0.83</f>
        <v>13.097399999999999</v>
      </c>
      <c r="R4" s="6">
        <f t="shared" ref="R4:R8" si="10">F4*0.83</f>
        <v>16.367599999999999</v>
      </c>
      <c r="S4" s="6">
        <f t="shared" ref="S4:S8" si="11">G4*0.83</f>
        <v>19.637799999999999</v>
      </c>
    </row>
    <row r="5" spans="1:19" x14ac:dyDescent="0.3">
      <c r="A5" s="1" t="s">
        <v>22</v>
      </c>
      <c r="B5" s="3" t="s">
        <v>7</v>
      </c>
      <c r="C5" s="1">
        <v>9.61</v>
      </c>
      <c r="D5" s="1">
        <v>14.42</v>
      </c>
      <c r="E5" s="1">
        <v>19.22</v>
      </c>
      <c r="F5" s="1">
        <v>24.03</v>
      </c>
      <c r="G5" s="1">
        <v>28.83</v>
      </c>
      <c r="I5" s="6">
        <f t="shared" si="2"/>
        <v>6.3426</v>
      </c>
      <c r="J5" s="6">
        <f t="shared" si="3"/>
        <v>9.5172000000000008</v>
      </c>
      <c r="K5" s="6">
        <f t="shared" si="4"/>
        <v>12.6852</v>
      </c>
      <c r="L5" s="6">
        <f t="shared" si="5"/>
        <v>15.859800000000002</v>
      </c>
      <c r="M5" s="6">
        <f t="shared" si="6"/>
        <v>19.027799999999999</v>
      </c>
      <c r="O5" s="6">
        <f t="shared" si="7"/>
        <v>7.9762999999999993</v>
      </c>
      <c r="P5" s="6">
        <f t="shared" si="8"/>
        <v>11.968599999999999</v>
      </c>
      <c r="Q5" s="6">
        <f t="shared" si="9"/>
        <v>15.952599999999999</v>
      </c>
      <c r="R5" s="6">
        <f t="shared" si="10"/>
        <v>19.944900000000001</v>
      </c>
      <c r="S5" s="6">
        <f t="shared" si="11"/>
        <v>23.928899999999999</v>
      </c>
    </row>
    <row r="6" spans="1:19" x14ac:dyDescent="0.3">
      <c r="A6" s="1" t="s">
        <v>21</v>
      </c>
      <c r="B6" s="3" t="s">
        <v>8</v>
      </c>
      <c r="C6" s="1">
        <v>12.82</v>
      </c>
      <c r="D6" s="1">
        <v>19.22</v>
      </c>
      <c r="E6" s="1">
        <v>25.63</v>
      </c>
      <c r="F6" s="1">
        <v>32.03</v>
      </c>
      <c r="G6" s="1">
        <v>38.450000000000003</v>
      </c>
      <c r="I6" s="6">
        <f t="shared" si="2"/>
        <v>8.4611999999999998</v>
      </c>
      <c r="J6" s="6">
        <f t="shared" si="3"/>
        <v>12.6852</v>
      </c>
      <c r="K6" s="6">
        <f t="shared" si="4"/>
        <v>16.915800000000001</v>
      </c>
      <c r="L6" s="6">
        <f t="shared" si="5"/>
        <v>21.139800000000001</v>
      </c>
      <c r="M6" s="6">
        <f t="shared" si="6"/>
        <v>25.377000000000002</v>
      </c>
      <c r="O6" s="6">
        <f t="shared" si="7"/>
        <v>10.640599999999999</v>
      </c>
      <c r="P6" s="6">
        <f t="shared" si="8"/>
        <v>15.952599999999999</v>
      </c>
      <c r="Q6" s="6">
        <f t="shared" si="9"/>
        <v>21.2729</v>
      </c>
      <c r="R6" s="6">
        <f t="shared" si="10"/>
        <v>26.584900000000001</v>
      </c>
      <c r="S6" s="6">
        <f t="shared" si="11"/>
        <v>31.913499999999999</v>
      </c>
    </row>
    <row r="7" spans="1:19" x14ac:dyDescent="0.3">
      <c r="A7" s="1" t="s">
        <v>25</v>
      </c>
      <c r="B7" s="3" t="s">
        <v>9</v>
      </c>
      <c r="C7" s="1">
        <v>14.8</v>
      </c>
      <c r="D7" s="1">
        <v>18.86</v>
      </c>
      <c r="E7" s="1">
        <v>22.92</v>
      </c>
      <c r="F7" s="1">
        <v>26.99</v>
      </c>
      <c r="G7" s="1">
        <v>31.06</v>
      </c>
      <c r="I7" s="6">
        <f t="shared" si="2"/>
        <v>9.7680000000000007</v>
      </c>
      <c r="J7" s="6">
        <f t="shared" si="3"/>
        <v>12.4476</v>
      </c>
      <c r="K7" s="6">
        <f t="shared" si="4"/>
        <v>15.127200000000002</v>
      </c>
      <c r="L7" s="6">
        <f t="shared" si="5"/>
        <v>17.813400000000001</v>
      </c>
      <c r="M7" s="6">
        <f t="shared" si="6"/>
        <v>20.499600000000001</v>
      </c>
      <c r="O7" s="6">
        <f t="shared" si="7"/>
        <v>12.284000000000001</v>
      </c>
      <c r="P7" s="6">
        <f t="shared" si="8"/>
        <v>15.653799999999999</v>
      </c>
      <c r="Q7" s="6">
        <f t="shared" si="9"/>
        <v>19.023600000000002</v>
      </c>
      <c r="R7" s="6">
        <f t="shared" si="10"/>
        <v>22.401699999999998</v>
      </c>
      <c r="S7" s="6">
        <f t="shared" si="11"/>
        <v>25.779799999999998</v>
      </c>
    </row>
    <row r="8" spans="1:19" x14ac:dyDescent="0.3">
      <c r="A8" s="1" t="s">
        <v>20</v>
      </c>
      <c r="B8" s="3" t="s">
        <v>10</v>
      </c>
      <c r="C8" s="1">
        <v>18</v>
      </c>
      <c r="D8" s="1">
        <v>23.66</v>
      </c>
      <c r="E8" s="1">
        <v>29.34</v>
      </c>
      <c r="F8" s="1">
        <v>35</v>
      </c>
      <c r="G8" s="1">
        <v>40.67</v>
      </c>
      <c r="I8" s="6">
        <f t="shared" si="2"/>
        <v>11.88</v>
      </c>
      <c r="J8" s="6">
        <f t="shared" si="3"/>
        <v>15.615600000000001</v>
      </c>
      <c r="K8" s="6">
        <f t="shared" si="4"/>
        <v>19.3644</v>
      </c>
      <c r="L8" s="6">
        <f t="shared" si="5"/>
        <v>23.1</v>
      </c>
      <c r="M8" s="6">
        <f t="shared" si="6"/>
        <v>26.842200000000002</v>
      </c>
      <c r="O8" s="6">
        <f t="shared" si="7"/>
        <v>14.94</v>
      </c>
      <c r="P8" s="6">
        <f t="shared" si="8"/>
        <v>19.637799999999999</v>
      </c>
      <c r="Q8" s="6">
        <f t="shared" si="9"/>
        <v>24.3522</v>
      </c>
      <c r="R8" s="6">
        <f t="shared" si="10"/>
        <v>29.049999999999997</v>
      </c>
      <c r="S8" s="6">
        <f t="shared" si="11"/>
        <v>33.756099999999996</v>
      </c>
    </row>
    <row r="9" spans="1:19" x14ac:dyDescent="0.3">
      <c r="I9" s="6"/>
      <c r="J9" s="6"/>
      <c r="K9" s="6"/>
      <c r="L9" s="6"/>
      <c r="M9" s="6"/>
      <c r="O9" s="6"/>
      <c r="P9" s="6"/>
      <c r="Q9" s="6"/>
      <c r="R9" s="6"/>
      <c r="S9" s="6"/>
    </row>
    <row r="10" spans="1:19" x14ac:dyDescent="0.3">
      <c r="A10" s="1" t="s">
        <v>23</v>
      </c>
      <c r="B10" s="3" t="s">
        <v>11</v>
      </c>
      <c r="C10" s="1">
        <v>6.82</v>
      </c>
      <c r="D10" s="1">
        <v>10.3</v>
      </c>
      <c r="E10" s="1">
        <v>13.77</v>
      </c>
      <c r="F10" s="1">
        <v>17.260000000000002</v>
      </c>
      <c r="G10" s="1">
        <v>20.74</v>
      </c>
      <c r="I10" s="6">
        <f t="shared" si="2"/>
        <v>4.5012000000000008</v>
      </c>
      <c r="J10" s="6">
        <f t="shared" si="3"/>
        <v>6.7980000000000009</v>
      </c>
      <c r="K10" s="6">
        <f t="shared" si="4"/>
        <v>9.0882000000000005</v>
      </c>
      <c r="L10" s="6">
        <f t="shared" si="5"/>
        <v>11.391600000000002</v>
      </c>
      <c r="M10" s="6">
        <f t="shared" si="6"/>
        <v>13.6884</v>
      </c>
      <c r="O10" s="6">
        <f>C10*0.83</f>
        <v>5.6605999999999996</v>
      </c>
      <c r="P10" s="6">
        <f t="shared" ref="P10:S10" si="12">D10*0.83</f>
        <v>8.5489999999999995</v>
      </c>
      <c r="Q10" s="6">
        <f t="shared" si="12"/>
        <v>11.429099999999998</v>
      </c>
      <c r="R10" s="6">
        <f t="shared" si="12"/>
        <v>14.325800000000001</v>
      </c>
      <c r="S10" s="6">
        <f t="shared" si="12"/>
        <v>17.214199999999998</v>
      </c>
    </row>
    <row r="11" spans="1:19" x14ac:dyDescent="0.3">
      <c r="A11" s="1" t="s">
        <v>24</v>
      </c>
      <c r="B11" s="3" t="s">
        <v>12</v>
      </c>
      <c r="C11" s="1">
        <v>9.11</v>
      </c>
      <c r="D11" s="1">
        <v>13.77</v>
      </c>
      <c r="E11" s="1">
        <v>18.45</v>
      </c>
      <c r="F11" s="1">
        <v>23.11</v>
      </c>
      <c r="G11" s="1">
        <v>27.78</v>
      </c>
      <c r="I11" s="6">
        <f t="shared" si="2"/>
        <v>6.0125999999999999</v>
      </c>
      <c r="J11" s="6">
        <f t="shared" si="3"/>
        <v>9.0882000000000005</v>
      </c>
      <c r="K11" s="6">
        <f t="shared" si="4"/>
        <v>12.177</v>
      </c>
      <c r="L11" s="6">
        <f t="shared" si="5"/>
        <v>15.252600000000001</v>
      </c>
      <c r="M11" s="6">
        <f t="shared" si="6"/>
        <v>18.334800000000001</v>
      </c>
      <c r="O11" s="6">
        <f t="shared" ref="O11:O15" si="13">C11*0.83</f>
        <v>7.5612999999999992</v>
      </c>
      <c r="P11" s="6">
        <f t="shared" ref="P11:P15" si="14">D11*0.83</f>
        <v>11.429099999999998</v>
      </c>
      <c r="Q11" s="6">
        <f t="shared" ref="Q11:Q15" si="15">E11*0.83</f>
        <v>15.313499999999999</v>
      </c>
      <c r="R11" s="6">
        <f t="shared" ref="R11:R15" si="16">F11*0.83</f>
        <v>19.1813</v>
      </c>
      <c r="S11" s="6">
        <f t="shared" ref="S11:S15" si="17">G11*0.83</f>
        <v>23.057400000000001</v>
      </c>
    </row>
    <row r="12" spans="1:19" x14ac:dyDescent="0.3">
      <c r="A12" s="1" t="s">
        <v>22</v>
      </c>
      <c r="B12" s="3" t="s">
        <v>13</v>
      </c>
      <c r="C12" s="1">
        <v>9.0399999999999991</v>
      </c>
      <c r="D12" s="1">
        <v>13.63</v>
      </c>
      <c r="E12" s="1">
        <v>18.22</v>
      </c>
      <c r="F12" s="1">
        <v>22.81</v>
      </c>
      <c r="G12" s="1">
        <v>27.41</v>
      </c>
      <c r="I12" s="6">
        <f t="shared" si="2"/>
        <v>5.9664000000000001</v>
      </c>
      <c r="J12" s="6">
        <f t="shared" si="3"/>
        <v>8.9958000000000009</v>
      </c>
      <c r="K12" s="6">
        <f t="shared" si="4"/>
        <v>12.0252</v>
      </c>
      <c r="L12" s="6">
        <f t="shared" si="5"/>
        <v>15.054600000000001</v>
      </c>
      <c r="M12" s="6">
        <f t="shared" si="6"/>
        <v>18.090600000000002</v>
      </c>
      <c r="O12" s="6">
        <f t="shared" si="13"/>
        <v>7.5031999999999988</v>
      </c>
      <c r="P12" s="6">
        <f t="shared" si="14"/>
        <v>11.312900000000001</v>
      </c>
      <c r="Q12" s="6">
        <f t="shared" si="15"/>
        <v>15.122599999999998</v>
      </c>
      <c r="R12" s="6">
        <f t="shared" si="16"/>
        <v>18.932299999999998</v>
      </c>
      <c r="S12" s="6">
        <f t="shared" si="17"/>
        <v>22.750299999999999</v>
      </c>
    </row>
    <row r="13" spans="1:19" x14ac:dyDescent="0.3">
      <c r="A13" s="1" t="s">
        <v>21</v>
      </c>
      <c r="B13" s="3" t="s">
        <v>14</v>
      </c>
      <c r="C13" s="1">
        <v>12.07</v>
      </c>
      <c r="D13" s="1">
        <v>18.22</v>
      </c>
      <c r="E13" s="1">
        <v>24.37</v>
      </c>
      <c r="F13" s="1">
        <v>30.52</v>
      </c>
      <c r="G13" s="1">
        <v>36.67</v>
      </c>
      <c r="I13" s="6">
        <f t="shared" si="2"/>
        <v>7.9662000000000006</v>
      </c>
      <c r="J13" s="6">
        <f t="shared" si="3"/>
        <v>12.0252</v>
      </c>
      <c r="K13" s="6">
        <f t="shared" si="4"/>
        <v>16.084200000000003</v>
      </c>
      <c r="L13" s="6">
        <f t="shared" si="5"/>
        <v>20.1432</v>
      </c>
      <c r="M13" s="6">
        <f t="shared" si="6"/>
        <v>24.202200000000001</v>
      </c>
      <c r="O13" s="6">
        <f t="shared" si="13"/>
        <v>10.0181</v>
      </c>
      <c r="P13" s="6">
        <f t="shared" si="14"/>
        <v>15.122599999999998</v>
      </c>
      <c r="Q13" s="6">
        <f t="shared" si="15"/>
        <v>20.2271</v>
      </c>
      <c r="R13" s="6">
        <f t="shared" si="16"/>
        <v>25.331599999999998</v>
      </c>
      <c r="S13" s="6">
        <f t="shared" si="17"/>
        <v>30.4361</v>
      </c>
    </row>
    <row r="14" spans="1:19" x14ac:dyDescent="0.3">
      <c r="A14" s="1" t="s">
        <v>25</v>
      </c>
      <c r="B14" s="3" t="s">
        <v>15</v>
      </c>
      <c r="C14" s="1">
        <v>19.41</v>
      </c>
      <c r="D14" s="1">
        <v>22.52</v>
      </c>
      <c r="E14" s="1">
        <v>25.63</v>
      </c>
      <c r="F14" s="1">
        <v>28.74</v>
      </c>
      <c r="G14" s="1">
        <v>31.85</v>
      </c>
      <c r="I14" s="6">
        <f t="shared" si="2"/>
        <v>12.810600000000001</v>
      </c>
      <c r="J14" s="6">
        <f t="shared" si="3"/>
        <v>14.863200000000001</v>
      </c>
      <c r="K14" s="6">
        <f t="shared" si="4"/>
        <v>16.915800000000001</v>
      </c>
      <c r="L14" s="6">
        <f t="shared" si="5"/>
        <v>18.968399999999999</v>
      </c>
      <c r="M14" s="6">
        <f t="shared" si="6"/>
        <v>21.021000000000001</v>
      </c>
      <c r="O14" s="6">
        <f t="shared" si="13"/>
        <v>16.110299999999999</v>
      </c>
      <c r="P14" s="6">
        <f t="shared" si="14"/>
        <v>18.691599999999998</v>
      </c>
      <c r="Q14" s="6">
        <f t="shared" si="15"/>
        <v>21.2729</v>
      </c>
      <c r="R14" s="6">
        <f t="shared" si="16"/>
        <v>23.854199999999999</v>
      </c>
      <c r="S14" s="6">
        <f t="shared" si="17"/>
        <v>26.435500000000001</v>
      </c>
    </row>
    <row r="15" spans="1:19" x14ac:dyDescent="0.3">
      <c r="A15" s="1" t="s">
        <v>20</v>
      </c>
      <c r="B15" s="3" t="s">
        <v>16</v>
      </c>
      <c r="C15" s="1">
        <v>22.44</v>
      </c>
      <c r="D15" s="1">
        <v>27.11</v>
      </c>
      <c r="E15" s="1">
        <v>31.78</v>
      </c>
      <c r="F15" s="1">
        <v>36.450000000000003</v>
      </c>
      <c r="G15" s="1">
        <v>41.11</v>
      </c>
      <c r="I15" s="6">
        <f t="shared" si="2"/>
        <v>14.810400000000001</v>
      </c>
      <c r="J15" s="6">
        <f t="shared" si="3"/>
        <v>17.892600000000002</v>
      </c>
      <c r="K15" s="6">
        <f t="shared" si="4"/>
        <v>20.974800000000002</v>
      </c>
      <c r="L15" s="6">
        <f t="shared" si="5"/>
        <v>24.057000000000002</v>
      </c>
      <c r="M15" s="6">
        <f t="shared" si="6"/>
        <v>27.1326</v>
      </c>
      <c r="O15" s="6">
        <f t="shared" si="13"/>
        <v>18.6252</v>
      </c>
      <c r="P15" s="6">
        <f t="shared" si="14"/>
        <v>22.501299999999997</v>
      </c>
      <c r="Q15" s="6">
        <f t="shared" si="15"/>
        <v>26.377399999999998</v>
      </c>
      <c r="R15" s="6">
        <f t="shared" si="16"/>
        <v>30.253500000000003</v>
      </c>
      <c r="S15" s="6">
        <f t="shared" si="17"/>
        <v>34.121299999999998</v>
      </c>
    </row>
    <row r="16" spans="1:19" x14ac:dyDescent="0.3">
      <c r="I16" s="6"/>
      <c r="J16" s="6"/>
      <c r="K16" s="6"/>
      <c r="L16" s="6"/>
      <c r="M16" s="6"/>
      <c r="O16" s="6"/>
      <c r="P16" s="6"/>
      <c r="Q16" s="6"/>
      <c r="R16" s="6"/>
      <c r="S16" s="6"/>
    </row>
    <row r="17" spans="1:19" x14ac:dyDescent="0.3">
      <c r="A17" s="1" t="s">
        <v>23</v>
      </c>
      <c r="B17" s="3" t="s">
        <v>26</v>
      </c>
      <c r="C17" s="1">
        <v>3.75</v>
      </c>
      <c r="D17" s="1">
        <v>5</v>
      </c>
      <c r="E17" s="1">
        <v>6.25</v>
      </c>
      <c r="F17" s="1">
        <v>7.5</v>
      </c>
      <c r="G17" s="1">
        <v>7.5</v>
      </c>
      <c r="I17" s="6">
        <f t="shared" si="2"/>
        <v>2.4750000000000001</v>
      </c>
      <c r="J17" s="6">
        <f t="shared" si="3"/>
        <v>3.3000000000000003</v>
      </c>
      <c r="K17" s="6">
        <f t="shared" si="4"/>
        <v>4.125</v>
      </c>
      <c r="L17" s="6">
        <f t="shared" si="5"/>
        <v>4.95</v>
      </c>
      <c r="M17" s="6">
        <f t="shared" si="6"/>
        <v>4.95</v>
      </c>
      <c r="O17" s="6">
        <f>C17*0.83</f>
        <v>3.1124999999999998</v>
      </c>
      <c r="P17" s="6">
        <f t="shared" ref="P17:S17" si="18">D17*0.83</f>
        <v>4.1499999999999995</v>
      </c>
      <c r="Q17" s="6">
        <f t="shared" si="18"/>
        <v>5.1875</v>
      </c>
      <c r="R17" s="6">
        <f t="shared" si="18"/>
        <v>6.2249999999999996</v>
      </c>
      <c r="S17" s="6">
        <f t="shared" si="18"/>
        <v>6.2249999999999996</v>
      </c>
    </row>
    <row r="18" spans="1:19" x14ac:dyDescent="0.3">
      <c r="A18" s="1" t="s">
        <v>24</v>
      </c>
      <c r="B18" s="3" t="s">
        <v>31</v>
      </c>
      <c r="C18" s="1">
        <v>5</v>
      </c>
      <c r="D18" s="1">
        <v>6.67</v>
      </c>
      <c r="E18" s="1">
        <v>8.33</v>
      </c>
      <c r="F18" s="1">
        <v>10</v>
      </c>
      <c r="G18" s="1">
        <v>10</v>
      </c>
      <c r="I18" s="6">
        <f t="shared" si="2"/>
        <v>3.3000000000000003</v>
      </c>
      <c r="J18" s="6">
        <f t="shared" si="3"/>
        <v>4.4022000000000006</v>
      </c>
      <c r="K18" s="6">
        <f t="shared" si="4"/>
        <v>5.4978000000000007</v>
      </c>
      <c r="L18" s="6">
        <f t="shared" si="5"/>
        <v>6.6000000000000005</v>
      </c>
      <c r="M18" s="6">
        <f t="shared" si="6"/>
        <v>6.6000000000000005</v>
      </c>
      <c r="O18" s="6">
        <f t="shared" ref="O18:O21" si="19">C18*0.83</f>
        <v>4.1499999999999995</v>
      </c>
      <c r="P18" s="6">
        <f t="shared" ref="P18:P21" si="20">D18*0.83</f>
        <v>5.5360999999999994</v>
      </c>
      <c r="Q18" s="6">
        <f t="shared" ref="Q18:Q21" si="21">E18*0.83</f>
        <v>6.9138999999999999</v>
      </c>
      <c r="R18" s="6">
        <f t="shared" ref="R18:R21" si="22">F18*0.83</f>
        <v>8.2999999999999989</v>
      </c>
      <c r="S18" s="6">
        <f t="shared" ref="S18:S21" si="23">G18*0.83</f>
        <v>8.2999999999999989</v>
      </c>
    </row>
    <row r="19" spans="1:19" x14ac:dyDescent="0.3">
      <c r="I19" s="6"/>
      <c r="J19" s="6"/>
      <c r="K19" s="6"/>
      <c r="L19" s="6"/>
      <c r="M19" s="6"/>
      <c r="O19" s="6"/>
      <c r="P19" s="6"/>
      <c r="Q19" s="6"/>
      <c r="R19" s="6"/>
      <c r="S19" s="6"/>
    </row>
    <row r="20" spans="1:19" x14ac:dyDescent="0.3">
      <c r="A20" s="1" t="s">
        <v>23</v>
      </c>
      <c r="B20" s="3" t="s">
        <v>27</v>
      </c>
      <c r="C20" s="1">
        <v>7.5</v>
      </c>
      <c r="D20" s="1">
        <v>10</v>
      </c>
      <c r="E20" s="1">
        <v>12.5</v>
      </c>
      <c r="F20" s="1">
        <v>15</v>
      </c>
      <c r="G20" s="1">
        <v>15</v>
      </c>
      <c r="I20" s="6">
        <f t="shared" si="2"/>
        <v>4.95</v>
      </c>
      <c r="J20" s="6">
        <f t="shared" si="3"/>
        <v>6.6000000000000005</v>
      </c>
      <c r="K20" s="6">
        <f t="shared" si="4"/>
        <v>8.25</v>
      </c>
      <c r="L20" s="6">
        <f t="shared" si="5"/>
        <v>9.9</v>
      </c>
      <c r="M20" s="6">
        <f t="shared" si="6"/>
        <v>9.9</v>
      </c>
      <c r="O20" s="6">
        <f t="shared" si="19"/>
        <v>6.2249999999999996</v>
      </c>
      <c r="P20" s="6">
        <f t="shared" si="20"/>
        <v>8.2999999999999989</v>
      </c>
      <c r="Q20" s="6">
        <f t="shared" si="21"/>
        <v>10.375</v>
      </c>
      <c r="R20" s="6">
        <f t="shared" si="22"/>
        <v>12.45</v>
      </c>
      <c r="S20" s="6">
        <f t="shared" si="23"/>
        <v>12.45</v>
      </c>
    </row>
    <row r="21" spans="1:19" x14ac:dyDescent="0.3">
      <c r="A21" s="1" t="s">
        <v>24</v>
      </c>
      <c r="B21" s="3" t="s">
        <v>32</v>
      </c>
      <c r="C21" s="1">
        <v>10</v>
      </c>
      <c r="D21" s="1">
        <v>13.33</v>
      </c>
      <c r="E21" s="1">
        <v>16.670000000000002</v>
      </c>
      <c r="F21" s="1">
        <v>20</v>
      </c>
      <c r="G21" s="1">
        <v>20</v>
      </c>
      <c r="I21" s="6">
        <f t="shared" si="2"/>
        <v>6.6000000000000005</v>
      </c>
      <c r="J21" s="6">
        <f t="shared" si="3"/>
        <v>8.7978000000000005</v>
      </c>
      <c r="K21" s="6">
        <f t="shared" si="4"/>
        <v>11.002200000000002</v>
      </c>
      <c r="L21" s="6">
        <f t="shared" si="5"/>
        <v>13.200000000000001</v>
      </c>
      <c r="M21" s="6">
        <f t="shared" si="6"/>
        <v>13.200000000000001</v>
      </c>
      <c r="O21" s="6">
        <f t="shared" si="19"/>
        <v>8.2999999999999989</v>
      </c>
      <c r="P21" s="6">
        <f t="shared" si="20"/>
        <v>11.0639</v>
      </c>
      <c r="Q21" s="6">
        <f t="shared" si="21"/>
        <v>13.8361</v>
      </c>
      <c r="R21" s="6">
        <f t="shared" si="22"/>
        <v>16.599999999999998</v>
      </c>
      <c r="S21" s="6">
        <f t="shared" si="23"/>
        <v>16.599999999999998</v>
      </c>
    </row>
    <row r="22" spans="1:19" x14ac:dyDescent="0.3">
      <c r="I22" s="6"/>
      <c r="J22" s="6"/>
      <c r="K22" s="6"/>
      <c r="L22" s="6"/>
      <c r="M22" s="6"/>
      <c r="O22" s="6"/>
      <c r="P22" s="6"/>
      <c r="Q22" s="6"/>
      <c r="R22" s="6"/>
      <c r="S22" s="6"/>
    </row>
    <row r="23" spans="1:19" x14ac:dyDescent="0.3">
      <c r="A23" s="1" t="s">
        <v>23</v>
      </c>
      <c r="B23" s="3" t="s">
        <v>29</v>
      </c>
      <c r="C23" s="1">
        <v>8.01</v>
      </c>
      <c r="D23" s="1">
        <v>10.19</v>
      </c>
      <c r="E23" s="1">
        <v>12.36</v>
      </c>
      <c r="F23" s="1">
        <v>13.06</v>
      </c>
      <c r="G23" s="1">
        <v>13.06</v>
      </c>
      <c r="I23" s="6">
        <f t="shared" ref="I23:I24" si="24">C23*0.66</f>
        <v>5.2866</v>
      </c>
      <c r="J23" s="6">
        <f t="shared" ref="J23:J24" si="25">D23*0.66</f>
        <v>6.7253999999999996</v>
      </c>
      <c r="K23" s="6">
        <f t="shared" ref="K23:K24" si="26">E23*0.66</f>
        <v>8.1576000000000004</v>
      </c>
      <c r="L23" s="6">
        <f t="shared" ref="L23:L24" si="27">F23*0.66</f>
        <v>8.6196000000000002</v>
      </c>
      <c r="M23" s="6">
        <f t="shared" ref="M23:M24" si="28">G23*0.66</f>
        <v>8.6196000000000002</v>
      </c>
      <c r="O23" s="6">
        <f>C23*0.83</f>
        <v>6.6482999999999999</v>
      </c>
      <c r="P23" s="6">
        <f t="shared" ref="P23:S23" si="29">D23*0.83</f>
        <v>8.4576999999999991</v>
      </c>
      <c r="Q23" s="6">
        <f t="shared" si="29"/>
        <v>10.258799999999999</v>
      </c>
      <c r="R23" s="6">
        <f t="shared" si="29"/>
        <v>10.8398</v>
      </c>
      <c r="S23" s="6">
        <f t="shared" si="29"/>
        <v>10.8398</v>
      </c>
    </row>
    <row r="24" spans="1:19" x14ac:dyDescent="0.3">
      <c r="A24" s="1" t="s">
        <v>24</v>
      </c>
      <c r="B24" s="3" t="s">
        <v>30</v>
      </c>
      <c r="C24" s="1">
        <v>10.19</v>
      </c>
      <c r="D24" s="1">
        <v>12.96</v>
      </c>
      <c r="E24" s="1">
        <v>15.74</v>
      </c>
      <c r="F24" s="1">
        <v>16.670000000000002</v>
      </c>
      <c r="G24" s="1">
        <v>16.670000000000002</v>
      </c>
      <c r="I24" s="6">
        <f t="shared" si="24"/>
        <v>6.7253999999999996</v>
      </c>
      <c r="J24" s="6">
        <f t="shared" si="25"/>
        <v>8.5536000000000012</v>
      </c>
      <c r="K24" s="6">
        <f t="shared" si="26"/>
        <v>10.388400000000001</v>
      </c>
      <c r="L24" s="6">
        <f t="shared" si="27"/>
        <v>11.002200000000002</v>
      </c>
      <c r="M24" s="6">
        <f t="shared" si="28"/>
        <v>11.002200000000002</v>
      </c>
      <c r="O24" s="6">
        <f>C24*0.83</f>
        <v>8.4576999999999991</v>
      </c>
      <c r="P24" s="6">
        <f t="shared" ref="P24" si="30">D24*0.83</f>
        <v>10.7568</v>
      </c>
      <c r="Q24" s="6">
        <f t="shared" ref="Q24" si="31">E24*0.83</f>
        <v>13.0642</v>
      </c>
      <c r="R24" s="6">
        <f t="shared" ref="R24" si="32">F24*0.83</f>
        <v>13.8361</v>
      </c>
      <c r="S24" s="6">
        <f t="shared" ref="S24" si="33">G24*0.83</f>
        <v>13.8361</v>
      </c>
    </row>
    <row r="25" spans="1:19" x14ac:dyDescent="0.3">
      <c r="I25" s="6"/>
      <c r="J25" s="6"/>
      <c r="K25" s="6"/>
      <c r="L25" s="6"/>
      <c r="M25" s="6"/>
    </row>
    <row r="26" spans="1:19" x14ac:dyDescent="0.3">
      <c r="I26" s="6"/>
      <c r="J26" s="6"/>
      <c r="K26" s="6"/>
      <c r="L26" s="6"/>
      <c r="M26" s="6"/>
    </row>
    <row r="27" spans="1:19" x14ac:dyDescent="0.3">
      <c r="I27" s="6"/>
      <c r="J27" s="6"/>
      <c r="K27" s="6"/>
      <c r="L27" s="6"/>
      <c r="M27" s="6"/>
    </row>
    <row r="29" spans="1:19" x14ac:dyDescent="0.3">
      <c r="C29" s="2" t="s">
        <v>18</v>
      </c>
      <c r="D29" s="2" t="s">
        <v>17</v>
      </c>
      <c r="E29" s="2" t="s">
        <v>19</v>
      </c>
      <c r="F29" s="4" t="s">
        <v>5</v>
      </c>
      <c r="G29" s="4" t="s">
        <v>11</v>
      </c>
      <c r="H29" s="4" t="s">
        <v>26</v>
      </c>
      <c r="I29" s="4" t="s">
        <v>27</v>
      </c>
    </row>
    <row r="30" spans="1:19" x14ac:dyDescent="0.3">
      <c r="B30" t="s">
        <v>33</v>
      </c>
      <c r="C30" s="1">
        <v>24</v>
      </c>
      <c r="D30" s="1" t="s">
        <v>2</v>
      </c>
      <c r="E30" s="1" t="s">
        <v>4</v>
      </c>
      <c r="F30" s="1" t="s">
        <v>20</v>
      </c>
      <c r="G30" s="1" t="s">
        <v>25</v>
      </c>
      <c r="H30" s="5" t="s">
        <v>42</v>
      </c>
      <c r="I30" s="5" t="s">
        <v>42</v>
      </c>
    </row>
    <row r="31" spans="1:19" x14ac:dyDescent="0.3">
      <c r="B31" t="s">
        <v>34</v>
      </c>
      <c r="C31" s="1">
        <v>12</v>
      </c>
      <c r="D31" s="1" t="s">
        <v>1</v>
      </c>
      <c r="E31" s="1" t="s">
        <v>4</v>
      </c>
      <c r="F31" s="1" t="s">
        <v>22</v>
      </c>
      <c r="G31" s="1" t="s">
        <v>22</v>
      </c>
      <c r="H31" s="5" t="s">
        <v>42</v>
      </c>
      <c r="I31" s="5" t="s">
        <v>42</v>
      </c>
    </row>
    <row r="32" spans="1:19" x14ac:dyDescent="0.3">
      <c r="B32" t="s">
        <v>35</v>
      </c>
      <c r="C32" s="1">
        <v>5</v>
      </c>
      <c r="D32" s="1" t="s">
        <v>3</v>
      </c>
      <c r="E32" s="1" t="s">
        <v>3</v>
      </c>
      <c r="F32" s="1" t="s">
        <v>23</v>
      </c>
      <c r="G32" s="1" t="s">
        <v>23</v>
      </c>
      <c r="H32" s="5" t="s">
        <v>23</v>
      </c>
      <c r="I32" s="1" t="s">
        <v>23</v>
      </c>
    </row>
    <row r="33" spans="2:9" x14ac:dyDescent="0.3">
      <c r="B33" t="s">
        <v>36</v>
      </c>
      <c r="C33" s="1">
        <v>40</v>
      </c>
      <c r="D33" s="1" t="s">
        <v>4</v>
      </c>
      <c r="E33" s="1" t="s">
        <v>3</v>
      </c>
      <c r="F33" s="5" t="s">
        <v>42</v>
      </c>
      <c r="G33" s="5" t="s">
        <v>42</v>
      </c>
      <c r="H33" s="5" t="s">
        <v>42</v>
      </c>
      <c r="I33" s="5" t="s">
        <v>42</v>
      </c>
    </row>
    <row r="34" spans="2:9" x14ac:dyDescent="0.3">
      <c r="B34" t="s">
        <v>37</v>
      </c>
      <c r="C34" s="1">
        <v>7</v>
      </c>
      <c r="D34" s="1" t="s">
        <v>3</v>
      </c>
      <c r="E34" s="1" t="s">
        <v>4</v>
      </c>
      <c r="F34" s="1" t="s">
        <v>23</v>
      </c>
      <c r="G34" s="1" t="s">
        <v>23</v>
      </c>
      <c r="H34" s="1" t="s">
        <v>24</v>
      </c>
      <c r="I34" s="1" t="s">
        <v>23</v>
      </c>
    </row>
    <row r="35" spans="2:9" x14ac:dyDescent="0.3">
      <c r="B35" t="s">
        <v>38</v>
      </c>
      <c r="C35" s="1">
        <v>7</v>
      </c>
      <c r="D35" s="1" t="s">
        <v>2</v>
      </c>
      <c r="E35" s="1" t="s">
        <v>4</v>
      </c>
      <c r="F35" s="1" t="s">
        <v>23</v>
      </c>
      <c r="G35" s="1" t="s">
        <v>23</v>
      </c>
      <c r="H35" s="1" t="s">
        <v>24</v>
      </c>
      <c r="I35" s="1" t="s">
        <v>23</v>
      </c>
    </row>
    <row r="36" spans="2:9" x14ac:dyDescent="0.3">
      <c r="B36" t="s">
        <v>39</v>
      </c>
      <c r="C36" s="1">
        <v>40</v>
      </c>
      <c r="D36" s="1" t="s">
        <v>1</v>
      </c>
      <c r="E36" s="1" t="s">
        <v>4</v>
      </c>
      <c r="F36" s="5" t="s">
        <v>42</v>
      </c>
      <c r="G36" s="5" t="s">
        <v>42</v>
      </c>
      <c r="H36" s="5" t="s">
        <v>42</v>
      </c>
      <c r="I36" s="5" t="s">
        <v>42</v>
      </c>
    </row>
    <row r="37" spans="2:9" x14ac:dyDescent="0.3">
      <c r="B37" t="s">
        <v>43</v>
      </c>
      <c r="C37" s="1">
        <v>10</v>
      </c>
      <c r="D37" s="1" t="s">
        <v>1</v>
      </c>
      <c r="E37" s="5" t="s">
        <v>4</v>
      </c>
      <c r="F37" s="1" t="s">
        <v>24</v>
      </c>
      <c r="G37" s="1" t="s">
        <v>24</v>
      </c>
      <c r="H37" s="5" t="s">
        <v>42</v>
      </c>
      <c r="I37" s="1" t="s">
        <v>24</v>
      </c>
    </row>
    <row r="38" spans="2:9" x14ac:dyDescent="0.3">
      <c r="B38" t="s">
        <v>44</v>
      </c>
      <c r="C38" s="1">
        <v>6</v>
      </c>
      <c r="D38" s="1" t="s">
        <v>3</v>
      </c>
      <c r="E38" s="5" t="s">
        <v>4</v>
      </c>
      <c r="F38" s="1" t="s">
        <v>23</v>
      </c>
      <c r="G38" s="1" t="s">
        <v>23</v>
      </c>
      <c r="H38" s="5" t="s">
        <v>23</v>
      </c>
      <c r="I38" s="1" t="s">
        <v>23</v>
      </c>
    </row>
    <row r="39" spans="2:9" x14ac:dyDescent="0.3">
      <c r="E39" s="5"/>
      <c r="H39" s="5"/>
      <c r="I39" s="1"/>
    </row>
  </sheetData>
  <mergeCells count="3">
    <mergeCell ref="I1:M1"/>
    <mergeCell ref="O1:S1"/>
    <mergeCell ref="C1:G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Furlan</dc:creator>
  <cp:lastModifiedBy>Davide Furlan</cp:lastModifiedBy>
  <cp:lastPrinted>2026-01-22T17:15:50Z</cp:lastPrinted>
  <dcterms:created xsi:type="dcterms:W3CDTF">2026-01-21T13:27:21Z</dcterms:created>
  <dcterms:modified xsi:type="dcterms:W3CDTF">2026-03-10T15:24:23Z</dcterms:modified>
</cp:coreProperties>
</file>